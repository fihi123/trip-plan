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업무파일\여행\"/>
    </mc:Choice>
  </mc:AlternateContent>
  <xr:revisionPtr revIDLastSave="0" documentId="13_ncr:1_{B99FC33D-8AC3-49AE-848E-A80C2BBFFC0A}" xr6:coauthVersionLast="47" xr6:coauthVersionMax="47" xr10:uidLastSave="{00000000-0000-0000-0000-000000000000}"/>
  <bookViews>
    <workbookView xWindow="-110" yWindow="-110" windowWidth="19420" windowHeight="10300" activeTab="1" xr2:uid="{EFAE280C-920F-4D30-8D2E-1A92B7053B25}"/>
  </bookViews>
  <sheets>
    <sheet name="7월 예산" sheetId="13" r:id="rId1"/>
    <sheet name="Sheet1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9" l="1"/>
  <c r="D39" i="19" s="1"/>
  <c r="I2" i="13" l="1"/>
  <c r="F13" i="13"/>
  <c r="F15" i="13" s="1"/>
  <c r="D8" i="13" l="1"/>
  <c r="E8" i="13" s="1"/>
  <c r="F8" i="13" s="1"/>
  <c r="D7" i="13"/>
  <c r="E7" i="13" s="1"/>
  <c r="F7" i="13" s="1"/>
  <c r="D6" i="13"/>
  <c r="E6" i="13" s="1"/>
  <c r="F6" i="13" s="1"/>
  <c r="D5" i="13"/>
  <c r="E5" i="13" l="1"/>
  <c r="F5" i="13" l="1"/>
  <c r="D10" i="13" l="1"/>
  <c r="E10" i="13"/>
  <c r="F10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<sst xmlns="http://schemas.openxmlformats.org/spreadsheetml/2006/main" count="70" uniqueCount="48">
  <si>
    <t>밥값</t>
  </si>
  <si>
    <t>횟수</t>
    <phoneticPr fontId="2" type="noConversion"/>
  </si>
  <si>
    <t>합</t>
    <phoneticPr fontId="2" type="noConversion"/>
  </si>
  <si>
    <t>마사지</t>
    <phoneticPr fontId="2" type="noConversion"/>
  </si>
  <si>
    <t>술값</t>
    <phoneticPr fontId="2" type="noConversion"/>
  </si>
  <si>
    <t>PHP</t>
    <phoneticPr fontId="2" type="noConversion"/>
  </si>
  <si>
    <t>USD</t>
    <phoneticPr fontId="2" type="noConversion"/>
  </si>
  <si>
    <t>KRW</t>
    <phoneticPr fontId="2" type="noConversion"/>
  </si>
  <si>
    <t>호텔</t>
    <phoneticPr fontId="2" type="noConversion"/>
  </si>
  <si>
    <t>항공료</t>
    <phoneticPr fontId="2" type="noConversion"/>
  </si>
  <si>
    <t>환전</t>
    <phoneticPr fontId="2" type="noConversion"/>
  </si>
  <si>
    <t>구분</t>
  </si>
  <si>
    <t>장소 / 내용</t>
  </si>
  <si>
    <t>예산(PHP)</t>
  </si>
  <si>
    <t>레드스트리트</t>
  </si>
  <si>
    <t>아지트 (타이거, 조개, 찜)</t>
  </si>
  <si>
    <t>미스진 (순대국)</t>
  </si>
  <si>
    <t>호텔 식당</t>
  </si>
  <si>
    <t>킴스브라더 (A세트, 짜파)</t>
  </si>
  <si>
    <t>빨래</t>
  </si>
  <si>
    <t>양평해장국</t>
  </si>
  <si>
    <t>호텔 라운지</t>
  </si>
  <si>
    <t>합계</t>
  </si>
  <si>
    <t>총 지출</t>
  </si>
  <si>
    <t>호텔 식당</t>
    <phoneticPr fontId="2" type="noConversion"/>
  </si>
  <si>
    <t>호텔</t>
  </si>
  <si>
    <t>레드스트리트</t>
    <phoneticPr fontId="2" type="noConversion"/>
  </si>
  <si>
    <t>일정</t>
    <phoneticPr fontId="2" type="noConversion"/>
  </si>
  <si>
    <t>R&amp;B or 노래방</t>
  </si>
  <si>
    <t>R&amp;B or 노래방</t>
    <phoneticPr fontId="2" type="noConversion"/>
  </si>
  <si>
    <t>주몽</t>
  </si>
  <si>
    <t>주몽</t>
    <phoneticPr fontId="2" type="noConversion"/>
  </si>
  <si>
    <t>서울옥</t>
  </si>
  <si>
    <t>서울옥</t>
    <phoneticPr fontId="2" type="noConversion"/>
  </si>
  <si>
    <t>호텔 --&gt; SM</t>
    <phoneticPr fontId="2" type="noConversion"/>
  </si>
  <si>
    <t>SM --&gt; 공항</t>
    <phoneticPr fontId="2" type="noConversion"/>
  </si>
  <si>
    <t>체크인</t>
    <phoneticPr fontId="2" type="noConversion"/>
  </si>
  <si>
    <t>인천</t>
    <phoneticPr fontId="2" type="noConversion"/>
  </si>
  <si>
    <t>인천 --&gt; 화성</t>
    <phoneticPr fontId="2" type="noConversion"/>
  </si>
  <si>
    <t>마사지 (1H)</t>
  </si>
  <si>
    <t>마사지 (1H)</t>
    <phoneticPr fontId="2" type="noConversion"/>
  </si>
  <si>
    <t>클락(앙헬레스) 3박5일</t>
    <phoneticPr fontId="2" type="noConversion"/>
  </si>
  <si>
    <t>crabs and crack</t>
  </si>
  <si>
    <t>crabs and crack</t>
    <phoneticPr fontId="2" type="noConversion"/>
  </si>
  <si>
    <t>인천-클락</t>
    <phoneticPr fontId="2" type="noConversion"/>
  </si>
  <si>
    <t>호텔</t>
    <phoneticPr fontId="2" type="noConversion"/>
  </si>
  <si>
    <t xml:space="preserve">클럽 or 술집 </t>
    <phoneticPr fontId="2" type="noConversion"/>
  </si>
  <si>
    <t>아지트 (코끼리조개, 해물찜)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</si>
</sst>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_-[$₱-3409]* #,##0.00_-;\-[$₱-3409]* #,##0.00_-;_-[$₱-3409]* &quot;-&quot;??_-;_-@_-"/>
    <numFmt numFmtId="178" formatCode="_-[$₩-412]* #,##0.00_-;\-[$₩-412]* #,##0.00_-;_-[$₩-412]* &quot;-&quot;??_-;_-@_-"/>
    <numFmt numFmtId="180" formatCode="mm&quot;월&quot;\ dd&quot;일&quot;;@"/>
    <numFmt numFmtId="181" formatCode="&quot;D-&quot;#&quot;일&quot;"/>
    <numFmt numFmtId="182" formatCode="_-[$₩-412]* #,##0_-;\-[$₩-412]* #,##0_-;_-[$₩-412]* &quot;-&quot;_-;_-@_-"/>
    <numFmt numFmtId="184" formatCode="#,##0_ "/>
    <numFmt numFmtId="185" formatCode="h:mm;@"/>
  </numFmts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33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82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81" fontId="3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20" fontId="0" fillId="0" borderId="0" xfId="0" applyNumberFormat="1" applyBorder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20" fontId="1" fillId="0" borderId="1" xfId="0" applyNumberFormat="1" applyFont="1" applyBorder="1" applyAlignment="1">
      <alignment horizontal="right" vertical="center"/>
    </xf>
    <xf numFmtId="185" fontId="1" fillId="0" borderId="1" xfId="0" applyNumberFormat="1" applyFont="1" applyBorder="1" applyAlignment="1">
      <alignment horizontal="right" vertical="center"/>
    </xf>
    <xf numFmtId="185" fontId="7" fillId="0" borderId="1" xfId="0" applyNumberFormat="1" applyFont="1" applyBorder="1" applyAlignment="1">
      <alignment horizontal="right" vertical="center"/>
    </xf>
  </cellXfs>
  <cellStyles count="3">
    <cellStyle name="표준" xfId="0" builtinId="0"/>
    <cellStyle name="표준 2" xfId="1" xr:uid="{748474B7-7B04-4306-BA2B-104321242873}"/>
    <cellStyle name="표준 3" xfId="2" xr:uid="{6499896D-D268-4C56-921C-72E2C0F693D0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6">
  <rv s="0">
    <v>en-US</v>
    <v>avyoyc</v>
    <v>268435456</v>
    <v>1</v>
    <v>Powered by Refinitiv</v>
    <v>0</v>
    <v>USD/KRW</v>
    <v>2</v>
    <v>3</v>
    <v>Finance</v>
    <v>4</v>
    <v>1510.18</v>
    <v>1346.8</v>
    <v>2.54</v>
    <v>1.7050000000000001E-3</v>
    <v>KRW</v>
    <v>USD</v>
    <v>1494.92</v>
    <v>Currency Pair</v>
    <v>46101.059710648151</v>
    <v>1486.84</v>
    <v>US Dollar/Korean Won FX Spot Rate</v>
    <v>1494.4</v>
    <v>1489.36</v>
    <v>1491.9</v>
    <v>USDKRW</v>
    <v>USD/KRW</v>
  </rv>
  <rv s="1">
    <v>0</v>
  </rv>
  <rv s="0">
    <v>en-US</v>
    <v>avyrqh</v>
    <v>268435456</v>
    <v>1</v>
    <v>Powered by Refinitiv</v>
    <v>0</v>
    <v>USD/PHP</v>
    <v>2</v>
    <v>5</v>
    <v>Finance</v>
    <v>4</v>
    <v>60.031999999999996</v>
    <v>55.112000000000002</v>
    <v>9.0999999999999998E-2</v>
    <v>1.5229999999999998E-3</v>
    <v>PHP</v>
    <v>USD</v>
    <v>59.904000000000003</v>
    <v>Currency Pair</v>
    <v>46101.058923611112</v>
    <v>59.88</v>
    <v>US Dollar/Philippine Peso FX Spot Rate</v>
    <v>59.78</v>
    <v>59.77</v>
    <v>59.860999999999997</v>
    <v>USDPHP</v>
    <v>USD/PHP</v>
  </rv>
  <rv s="1">
    <v>2</v>
  </rv>
  <rv s="0">
    <v>en-US</v>
    <v>avpllh</v>
    <v>268435456</v>
    <v>1</v>
    <v>Powered by Refinitiv</v>
    <v>0</v>
    <v>PHP/KRW</v>
    <v>2</v>
    <v>3</v>
    <v>Finance</v>
    <v>4</v>
    <v>25.8674</v>
    <v>23.653600000000001</v>
    <v>2.3300000000000001E-2</v>
    <v>9.3720000000000001E-4</v>
    <v>KRW</v>
    <v>PHP</v>
    <v>24.953199999999999</v>
    <v>Currency Pair</v>
    <v>46101.059710648151</v>
    <v>24.864000000000001</v>
    <v>Philippine Peso/Korean Won FX Cross Rate</v>
    <v>24.944500000000001</v>
    <v>24.860399999999998</v>
    <v>24.883700000000001</v>
    <v>PHPKRW</v>
    <v>PHP/KRW</v>
  </rv>
  <rv s="1">
    <v>4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6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  <spb s="3">
      <v>6</v>
      <v>6</v>
      <v>2</v>
      <v>6</v>
      <v>6</v>
      <v>6</v>
      <v>3</v>
      <v>6</v>
      <v>6</v>
      <v>6</v>
      <v>4</v>
      <v>5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27" formatCode="yyyy/mm/dd\ h:mm"/>
    </x:dxf>
    <x:dxf>
      <x:numFmt numFmtId="14" formatCode="0.00%"/>
    </x:dxf>
  </dxfs>
  <richProperties>
    <rPr n="NumberFormat" t="s"/>
    <rPr n="IsTitleField" t="b"/>
  </richProperties>
  <richStyles>
    <rSty dxfid="0">
      <rpv i="0">_-[$₩-ko-KR]* #,##0.00_-;-[$₩-ko-KR]* #,##0.00_-;_-[$₩-ko-KR]* "-"??_-;_-@_-</rpv>
    </rSty>
    <rSty>
      <rpv i="1">1</rpv>
    </rSty>
    <rSty dxfid="2"/>
    <rSty dxfid="1"/>
    <rSty dxfid="0">
      <rpv i="0">0.00_);[Red](0.00)</rpv>
    </rSty>
    <rSty dxfid="0">
      <rpv i="0">_-[$₱-en-PH]* #,##0.00_-;-[$₱-en-PH]* #,##0.00_-;_-[$₱-en-PH]* "-"??_-;_-@_-</rpv>
    </rSty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7C73-5772-4C92-9D05-16DE12C613D3}">
  <dimension ref="A2:I15"/>
  <sheetViews>
    <sheetView topLeftCell="A2" workbookViewId="0">
      <selection activeCell="H9" sqref="H9"/>
    </sheetView>
  </sheetViews>
  <sheetFormatPr defaultColWidth="9" defaultRowHeight="17" x14ac:dyDescent="0.45"/>
  <cols>
    <col min="1" max="1" width="13.25" style="1" bestFit="1" customWidth="1"/>
    <col min="2" max="2" width="8.5" style="1" bestFit="1" customWidth="1"/>
    <col min="3" max="3" width="5.5" style="1" bestFit="1" customWidth="1"/>
    <col min="4" max="4" width="9.58203125" style="1" bestFit="1" customWidth="1"/>
    <col min="5" max="5" width="7.33203125" style="1" bestFit="1" customWidth="1"/>
    <col min="6" max="6" width="11.33203125" style="1" bestFit="1" customWidth="1"/>
    <col min="7" max="7" width="9" style="11"/>
    <col min="8" max="8" width="11" style="11" bestFit="1" customWidth="1"/>
    <col min="9" max="9" width="8.5" style="11" bestFit="1" customWidth="1"/>
    <col min="10" max="10" width="11" style="11" bestFit="1" customWidth="1"/>
    <col min="11" max="11" width="5.5" style="11" bestFit="1" customWidth="1"/>
    <col min="12" max="12" width="33.08203125" style="11" bestFit="1" customWidth="1"/>
    <col min="13" max="13" width="10.5" style="11" bestFit="1" customWidth="1"/>
    <col min="14" max="16384" width="9" style="11"/>
  </cols>
  <sheetData>
    <row r="2" spans="1:9" x14ac:dyDescent="0.45">
      <c r="A2" s="23" t="s">
        <v>41</v>
      </c>
      <c r="B2" s="23"/>
      <c r="C2" s="23"/>
      <c r="D2" s="23"/>
      <c r="E2" s="23"/>
      <c r="F2" s="23"/>
      <c r="H2" s="5">
        <v>46228</v>
      </c>
      <c r="I2" s="10">
        <f ca="1">H2-TODAY()</f>
        <v>27</v>
      </c>
    </row>
    <row r="3" spans="1:9" x14ac:dyDescent="0.45">
      <c r="A3" s="2"/>
      <c r="B3" s="2"/>
      <c r="C3" s="2"/>
      <c r="D3" s="2"/>
      <c r="E3" s="2"/>
      <c r="F3" s="2"/>
      <c r="H3" s="6" t="e" vm="1">
        <v>#VALUE!</v>
      </c>
      <c r="I3" s="7">
        <v>1550</v>
      </c>
    </row>
    <row r="4" spans="1:9" x14ac:dyDescent="0.45">
      <c r="A4" s="3"/>
      <c r="B4" s="4" t="s">
        <v>5</v>
      </c>
      <c r="C4" s="4" t="s">
        <v>1</v>
      </c>
      <c r="D4" s="4" t="s">
        <v>5</v>
      </c>
      <c r="E4" s="4" t="s">
        <v>6</v>
      </c>
      <c r="F4" s="4" t="s">
        <v>7</v>
      </c>
      <c r="H4" s="6" t="e" vm="2">
        <v>#VALUE!</v>
      </c>
      <c r="I4" s="8">
        <v>58</v>
      </c>
    </row>
    <row r="5" spans="1:9" x14ac:dyDescent="0.45">
      <c r="A5" s="3" t="s">
        <v>8</v>
      </c>
      <c r="B5" s="4">
        <v>2800</v>
      </c>
      <c r="C5" s="4">
        <v>3</v>
      </c>
      <c r="D5" s="4">
        <f>C5*B5</f>
        <v>8400</v>
      </c>
      <c r="E5" s="4">
        <f>D5/$I$4</f>
        <v>144.82758620689654</v>
      </c>
      <c r="F5" s="4">
        <f>E5*$I$3</f>
        <v>224482.75862068965</v>
      </c>
      <c r="H5" s="6" t="e" vm="3">
        <v>#VALUE!</v>
      </c>
      <c r="I5" s="9">
        <v>26</v>
      </c>
    </row>
    <row r="6" spans="1:9" x14ac:dyDescent="0.45">
      <c r="A6" s="3" t="s">
        <v>0</v>
      </c>
      <c r="B6" s="4">
        <v>2000</v>
      </c>
      <c r="C6" s="4">
        <v>10</v>
      </c>
      <c r="D6" s="4">
        <f>C6*B6</f>
        <v>20000</v>
      </c>
      <c r="E6" s="4">
        <f t="shared" ref="E6:E7" si="0">D6/$I$4</f>
        <v>344.82758620689657</v>
      </c>
      <c r="F6" s="4">
        <f t="shared" ref="F6:F7" si="1">E6*$I$3</f>
        <v>534482.75862068974</v>
      </c>
    </row>
    <row r="7" spans="1:9" x14ac:dyDescent="0.45">
      <c r="A7" s="3" t="s">
        <v>4</v>
      </c>
      <c r="B7" s="4">
        <v>6000</v>
      </c>
      <c r="C7" s="4">
        <v>4</v>
      </c>
      <c r="D7" s="4">
        <f>C7*B7</f>
        <v>24000</v>
      </c>
      <c r="E7" s="4">
        <f t="shared" si="0"/>
        <v>413.79310344827587</v>
      </c>
      <c r="F7" s="4">
        <f t="shared" si="1"/>
        <v>641379.31034482759</v>
      </c>
    </row>
    <row r="8" spans="1:9" x14ac:dyDescent="0.45">
      <c r="A8" s="3" t="s">
        <v>3</v>
      </c>
      <c r="B8" s="4">
        <v>1000</v>
      </c>
      <c r="C8" s="4">
        <v>4</v>
      </c>
      <c r="D8" s="4">
        <f>C8*B8</f>
        <v>4000</v>
      </c>
      <c r="E8" s="4">
        <f>D8/$I$4</f>
        <v>68.965517241379317</v>
      </c>
      <c r="F8" s="4">
        <f>E8*$I$3</f>
        <v>106896.55172413794</v>
      </c>
    </row>
    <row r="9" spans="1:9" x14ac:dyDescent="0.45">
      <c r="A9" s="3"/>
      <c r="B9" s="4"/>
      <c r="C9" s="4"/>
      <c r="D9" s="4"/>
      <c r="E9" s="4"/>
      <c r="F9" s="4"/>
    </row>
    <row r="10" spans="1:9" x14ac:dyDescent="0.45">
      <c r="A10" s="3" t="s">
        <v>2</v>
      </c>
      <c r="B10" s="4"/>
      <c r="C10" s="4"/>
      <c r="D10" s="4">
        <f>SUM(D5:D9)</f>
        <v>56400</v>
      </c>
      <c r="E10" s="12">
        <f>SUM(E5:E9)</f>
        <v>972.41379310344837</v>
      </c>
      <c r="F10" s="4">
        <f>SUM(F5:F9)</f>
        <v>1507241.379310345</v>
      </c>
    </row>
    <row r="12" spans="1:9" x14ac:dyDescent="0.45">
      <c r="A12" s="3" t="s">
        <v>9</v>
      </c>
      <c r="B12" s="4"/>
      <c r="C12" s="4"/>
      <c r="D12" s="4"/>
      <c r="E12" s="4"/>
      <c r="F12" s="4"/>
    </row>
    <row r="13" spans="1:9" x14ac:dyDescent="0.45">
      <c r="A13" s="3" t="s">
        <v>10</v>
      </c>
      <c r="B13" s="4"/>
      <c r="C13" s="4"/>
      <c r="D13" s="4"/>
      <c r="E13" s="4">
        <v>1000</v>
      </c>
      <c r="F13" s="4">
        <f>E13*I3</f>
        <v>1550000</v>
      </c>
    </row>
    <row r="14" spans="1:9" x14ac:dyDescent="0.45">
      <c r="A14" s="3"/>
      <c r="B14" s="4"/>
      <c r="C14" s="4"/>
      <c r="D14" s="4"/>
      <c r="E14" s="4"/>
      <c r="F14" s="4"/>
    </row>
    <row r="15" spans="1:9" x14ac:dyDescent="0.45">
      <c r="A15" s="3" t="s">
        <v>2</v>
      </c>
      <c r="B15" s="4"/>
      <c r="C15" s="4"/>
      <c r="D15" s="4"/>
      <c r="E15" s="4"/>
      <c r="F15" s="4">
        <f>SUM(F12:F14)</f>
        <v>1550000</v>
      </c>
    </row>
  </sheetData>
  <mergeCells count="1">
    <mergeCell ref="A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1235-5074-447B-9D3C-81F278F7D60C}">
  <dimension ref="A1:I39"/>
  <sheetViews>
    <sheetView tabSelected="1" topLeftCell="A16" workbookViewId="0">
      <selection activeCell="F26" sqref="F26"/>
    </sheetView>
  </sheetViews>
  <sheetFormatPr defaultRowHeight="17" x14ac:dyDescent="0.45"/>
  <cols>
    <col min="1" max="1" width="5.58203125" style="11" bestFit="1" customWidth="1"/>
    <col min="2" max="2" width="33.08203125" style="11" bestFit="1" customWidth="1"/>
    <col min="3" max="3" width="10.75" style="11" bestFit="1" customWidth="1"/>
    <col min="4" max="4" width="11.33203125" style="11" bestFit="1" customWidth="1"/>
    <col min="5" max="5" width="9.08203125" style="11" bestFit="1" customWidth="1"/>
    <col min="6" max="6" width="4.83203125" customWidth="1"/>
    <col min="7" max="7" width="32.58203125" bestFit="1" customWidth="1"/>
    <col min="8" max="8" width="5.5" bestFit="1" customWidth="1"/>
  </cols>
  <sheetData>
    <row r="1" spans="1:8" x14ac:dyDescent="0.45">
      <c r="A1" s="13" t="s">
        <v>11</v>
      </c>
      <c r="B1" s="13" t="s">
        <v>12</v>
      </c>
      <c r="C1" s="13" t="s">
        <v>13</v>
      </c>
      <c r="D1" s="23" t="s">
        <v>27</v>
      </c>
      <c r="E1" s="23"/>
      <c r="F1" s="17"/>
    </row>
    <row r="2" spans="1:8" x14ac:dyDescent="0.45">
      <c r="A2" s="25">
        <v>1</v>
      </c>
      <c r="B2" s="22" t="s">
        <v>44</v>
      </c>
      <c r="C2" s="20"/>
      <c r="D2" s="30">
        <v>0.875</v>
      </c>
      <c r="E2" s="30">
        <v>4.1666666666666664E-2</v>
      </c>
      <c r="F2" s="17"/>
    </row>
    <row r="3" spans="1:8" x14ac:dyDescent="0.45">
      <c r="A3" s="26"/>
      <c r="B3" s="22" t="s">
        <v>45</v>
      </c>
      <c r="C3" s="20"/>
      <c r="D3" s="30">
        <v>4.1666666666666664E-2</v>
      </c>
      <c r="E3" s="30">
        <v>8.3333333333333329E-2</v>
      </c>
      <c r="F3" s="17"/>
    </row>
    <row r="4" spans="1:8" x14ac:dyDescent="0.45">
      <c r="A4" s="26"/>
      <c r="B4" s="22" t="s">
        <v>46</v>
      </c>
      <c r="C4" s="20">
        <v>10000</v>
      </c>
      <c r="D4" s="30">
        <v>8.3333333333333329E-2</v>
      </c>
      <c r="E4" s="30">
        <v>0.25</v>
      </c>
      <c r="F4" s="17"/>
    </row>
    <row r="5" spans="1:8" x14ac:dyDescent="0.45">
      <c r="A5" s="26"/>
      <c r="B5" s="22" t="s">
        <v>45</v>
      </c>
      <c r="C5" s="20"/>
      <c r="D5" s="30">
        <v>0.25</v>
      </c>
      <c r="E5" s="30">
        <v>0.41666666666666669</v>
      </c>
      <c r="F5" s="17"/>
    </row>
    <row r="6" spans="1:8" x14ac:dyDescent="0.45">
      <c r="A6" s="26"/>
      <c r="B6" s="22" t="s">
        <v>16</v>
      </c>
      <c r="C6" s="20">
        <v>600</v>
      </c>
      <c r="D6" s="31">
        <v>0.41666666666666669</v>
      </c>
      <c r="E6" s="31">
        <v>0.45833333333333331</v>
      </c>
      <c r="F6" s="17"/>
    </row>
    <row r="7" spans="1:8" x14ac:dyDescent="0.45">
      <c r="A7" s="26"/>
      <c r="B7" s="22" t="s">
        <v>40</v>
      </c>
      <c r="C7" s="20">
        <v>600</v>
      </c>
      <c r="D7" s="31">
        <v>0.45833333333333331</v>
      </c>
      <c r="E7" s="31">
        <v>0.5</v>
      </c>
      <c r="F7" s="17"/>
    </row>
    <row r="8" spans="1:8" x14ac:dyDescent="0.45">
      <c r="A8" s="26"/>
      <c r="B8" s="13" t="s">
        <v>26</v>
      </c>
      <c r="C8" s="20">
        <v>8000</v>
      </c>
      <c r="D8" s="31">
        <v>0.54166666666666663</v>
      </c>
      <c r="E8" s="31">
        <v>0.58333333333333337</v>
      </c>
      <c r="F8" s="18"/>
    </row>
    <row r="9" spans="1:8" x14ac:dyDescent="0.45">
      <c r="A9" s="26"/>
      <c r="B9" s="16" t="s">
        <v>31</v>
      </c>
      <c r="C9" s="28">
        <v>2000</v>
      </c>
      <c r="D9" s="31">
        <v>0.58333333333333337</v>
      </c>
      <c r="E9" s="31">
        <v>0.66666666666666663</v>
      </c>
      <c r="F9" s="18"/>
    </row>
    <row r="10" spans="1:8" x14ac:dyDescent="0.45">
      <c r="A10" s="26"/>
      <c r="B10" s="13" t="s">
        <v>8</v>
      </c>
      <c r="C10" s="20"/>
      <c r="D10" s="31"/>
      <c r="E10" s="31"/>
      <c r="F10" s="18"/>
    </row>
    <row r="11" spans="1:8" x14ac:dyDescent="0.45">
      <c r="A11" s="26"/>
      <c r="B11" s="13" t="s">
        <v>47</v>
      </c>
      <c r="C11" s="20">
        <v>3000</v>
      </c>
      <c r="D11" s="31">
        <v>0.79166666666666663</v>
      </c>
      <c r="E11" s="31">
        <v>0.875</v>
      </c>
      <c r="F11" s="18"/>
    </row>
    <row r="12" spans="1:8" x14ac:dyDescent="0.45">
      <c r="A12" s="27"/>
      <c r="B12" s="13" t="s">
        <v>8</v>
      </c>
      <c r="C12" s="20"/>
      <c r="D12" s="31"/>
      <c r="E12" s="31"/>
      <c r="F12" s="18"/>
      <c r="G12" t="s">
        <v>16</v>
      </c>
      <c r="H12">
        <v>500</v>
      </c>
    </row>
    <row r="13" spans="1:8" x14ac:dyDescent="0.45">
      <c r="A13" s="23">
        <v>2</v>
      </c>
      <c r="B13" s="13" t="s">
        <v>16</v>
      </c>
      <c r="C13" s="20">
        <v>500</v>
      </c>
      <c r="D13" s="31">
        <v>0.41666666666666669</v>
      </c>
      <c r="E13" s="31">
        <v>0.45833333333333331</v>
      </c>
      <c r="F13" s="18"/>
      <c r="G13" t="s">
        <v>20</v>
      </c>
      <c r="H13">
        <v>500</v>
      </c>
    </row>
    <row r="14" spans="1:8" x14ac:dyDescent="0.45">
      <c r="A14" s="23"/>
      <c r="B14" s="13" t="s">
        <v>40</v>
      </c>
      <c r="C14" s="20">
        <v>600</v>
      </c>
      <c r="D14" s="31">
        <v>0.45833333333333331</v>
      </c>
      <c r="E14" s="31">
        <v>0.5</v>
      </c>
      <c r="F14" s="18"/>
      <c r="G14" t="s">
        <v>17</v>
      </c>
      <c r="H14">
        <v>500</v>
      </c>
    </row>
    <row r="15" spans="1:8" x14ac:dyDescent="0.45">
      <c r="A15" s="23"/>
      <c r="B15" s="13" t="s">
        <v>14</v>
      </c>
      <c r="C15" s="20">
        <v>8000</v>
      </c>
      <c r="D15" s="31">
        <v>0.5</v>
      </c>
      <c r="E15" s="31">
        <v>0.54166666666666663</v>
      </c>
      <c r="F15" s="18"/>
      <c r="G15" t="s">
        <v>42</v>
      </c>
      <c r="H15">
        <v>1500</v>
      </c>
    </row>
    <row r="16" spans="1:8" x14ac:dyDescent="0.45">
      <c r="A16" s="23"/>
      <c r="B16" s="13" t="s">
        <v>17</v>
      </c>
      <c r="C16" s="20">
        <v>2000</v>
      </c>
      <c r="D16" s="31">
        <v>0.54166666666666663</v>
      </c>
      <c r="E16" s="31">
        <v>0.58333333333333337</v>
      </c>
      <c r="F16" s="18"/>
      <c r="G16" t="s">
        <v>30</v>
      </c>
      <c r="H16">
        <v>2000</v>
      </c>
    </row>
    <row r="17" spans="1:9" x14ac:dyDescent="0.45">
      <c r="A17" s="23"/>
      <c r="B17" s="13" t="s">
        <v>8</v>
      </c>
      <c r="C17" s="20"/>
      <c r="D17" s="31"/>
      <c r="E17" s="31"/>
      <c r="F17" s="18"/>
      <c r="G17" t="s">
        <v>17</v>
      </c>
      <c r="H17">
        <v>2000</v>
      </c>
    </row>
    <row r="18" spans="1:9" x14ac:dyDescent="0.45">
      <c r="A18" s="23"/>
      <c r="B18" s="13" t="s">
        <v>18</v>
      </c>
      <c r="C18" s="20">
        <v>2000</v>
      </c>
      <c r="D18" s="31">
        <v>0.79166666666666663</v>
      </c>
      <c r="E18" s="31">
        <v>0.875</v>
      </c>
      <c r="F18" s="18"/>
      <c r="G18" t="s">
        <v>18</v>
      </c>
      <c r="H18">
        <v>2000</v>
      </c>
    </row>
    <row r="19" spans="1:9" x14ac:dyDescent="0.45">
      <c r="A19" s="23"/>
      <c r="B19" s="13" t="s">
        <v>25</v>
      </c>
      <c r="C19" s="20"/>
      <c r="D19" s="31"/>
      <c r="E19" s="31"/>
      <c r="F19" s="18"/>
      <c r="G19" t="s">
        <v>28</v>
      </c>
      <c r="H19">
        <v>2000</v>
      </c>
    </row>
    <row r="20" spans="1:9" x14ac:dyDescent="0.45">
      <c r="A20" s="23"/>
      <c r="B20" s="13" t="s">
        <v>29</v>
      </c>
      <c r="C20" s="20">
        <v>2000</v>
      </c>
      <c r="D20" s="31"/>
      <c r="E20" s="31"/>
      <c r="F20" s="18"/>
      <c r="G20" t="s">
        <v>32</v>
      </c>
      <c r="H20">
        <v>2000</v>
      </c>
    </row>
    <row r="21" spans="1:9" x14ac:dyDescent="0.45">
      <c r="A21" s="25">
        <v>3</v>
      </c>
      <c r="B21" s="13" t="s">
        <v>19</v>
      </c>
      <c r="C21" s="20">
        <v>300</v>
      </c>
      <c r="D21" s="31"/>
      <c r="E21" s="31"/>
      <c r="F21" s="18"/>
      <c r="G21" t="s">
        <v>21</v>
      </c>
      <c r="H21">
        <v>2000</v>
      </c>
    </row>
    <row r="22" spans="1:9" x14ac:dyDescent="0.45">
      <c r="A22" s="26"/>
      <c r="B22" s="13" t="s">
        <v>20</v>
      </c>
      <c r="C22" s="20">
        <v>500</v>
      </c>
      <c r="D22" s="31">
        <v>0.41666666666666669</v>
      </c>
      <c r="E22" s="31">
        <v>0.45833333333333331</v>
      </c>
      <c r="F22" s="18"/>
      <c r="G22" t="s">
        <v>15</v>
      </c>
      <c r="H22">
        <v>3000</v>
      </c>
    </row>
    <row r="23" spans="1:9" x14ac:dyDescent="0.45">
      <c r="A23" s="26"/>
      <c r="B23" s="13" t="s">
        <v>40</v>
      </c>
      <c r="C23" s="20">
        <v>600</v>
      </c>
      <c r="D23" s="31">
        <v>0.45833333333333331</v>
      </c>
      <c r="E23" s="31">
        <v>0.5</v>
      </c>
      <c r="F23" s="18"/>
    </row>
    <row r="24" spans="1:9" x14ac:dyDescent="0.45">
      <c r="A24" s="26"/>
      <c r="B24" s="13" t="s">
        <v>14</v>
      </c>
      <c r="C24" s="20">
        <v>8000</v>
      </c>
      <c r="D24" s="31">
        <v>0.5</v>
      </c>
      <c r="E24" s="31">
        <v>0.54166666666666663</v>
      </c>
      <c r="F24" s="18"/>
      <c r="G24" t="s">
        <v>14</v>
      </c>
      <c r="H24">
        <v>6000</v>
      </c>
      <c r="I24">
        <v>4</v>
      </c>
    </row>
    <row r="25" spans="1:9" x14ac:dyDescent="0.45">
      <c r="A25" s="26"/>
      <c r="B25" s="13" t="s">
        <v>33</v>
      </c>
      <c r="C25" s="20">
        <v>2000</v>
      </c>
      <c r="D25" s="31">
        <v>0.54166666666666663</v>
      </c>
      <c r="E25" s="31">
        <v>0.625</v>
      </c>
      <c r="F25" s="18"/>
      <c r="G25" t="s">
        <v>39</v>
      </c>
      <c r="H25">
        <v>600</v>
      </c>
      <c r="I25">
        <v>3</v>
      </c>
    </row>
    <row r="26" spans="1:9" x14ac:dyDescent="0.45">
      <c r="A26" s="26"/>
      <c r="B26" s="13" t="s">
        <v>25</v>
      </c>
      <c r="C26" s="20"/>
      <c r="D26" s="31"/>
      <c r="E26" s="31"/>
      <c r="F26" s="18"/>
      <c r="G26" t="s">
        <v>19</v>
      </c>
      <c r="H26">
        <v>300</v>
      </c>
      <c r="I26">
        <v>1</v>
      </c>
    </row>
    <row r="27" spans="1:9" x14ac:dyDescent="0.45">
      <c r="A27" s="26"/>
      <c r="B27" s="13" t="s">
        <v>43</v>
      </c>
      <c r="C27" s="20">
        <v>1500</v>
      </c>
      <c r="D27" s="31">
        <v>0.79166666666666663</v>
      </c>
      <c r="E27" s="31">
        <v>0.875</v>
      </c>
      <c r="F27" s="18"/>
    </row>
    <row r="28" spans="1:9" x14ac:dyDescent="0.45">
      <c r="A28" s="26"/>
      <c r="B28" s="13" t="s">
        <v>25</v>
      </c>
      <c r="C28" s="20"/>
      <c r="D28" s="31"/>
      <c r="E28" s="31"/>
      <c r="F28" s="18"/>
    </row>
    <row r="29" spans="1:9" x14ac:dyDescent="0.45">
      <c r="A29" s="27"/>
      <c r="B29" s="13" t="s">
        <v>21</v>
      </c>
      <c r="C29" s="20">
        <v>2000</v>
      </c>
      <c r="D29" s="31"/>
      <c r="E29" s="31"/>
      <c r="F29" s="18"/>
    </row>
    <row r="30" spans="1:9" x14ac:dyDescent="0.45">
      <c r="A30" s="25">
        <v>4</v>
      </c>
      <c r="B30" s="13" t="s">
        <v>24</v>
      </c>
      <c r="C30" s="20">
        <v>500</v>
      </c>
      <c r="D30" s="31">
        <v>0.41666666666666669</v>
      </c>
      <c r="E30" s="31">
        <v>0.45833333333333331</v>
      </c>
      <c r="F30" s="18"/>
    </row>
    <row r="31" spans="1:9" x14ac:dyDescent="0.45">
      <c r="A31" s="26"/>
      <c r="B31" s="15" t="s">
        <v>40</v>
      </c>
      <c r="C31" s="29">
        <v>600</v>
      </c>
      <c r="D31" s="32">
        <v>0.45833333333333331</v>
      </c>
      <c r="E31" s="32">
        <v>0.5</v>
      </c>
      <c r="F31" s="18"/>
      <c r="G31" s="24"/>
    </row>
    <row r="32" spans="1:9" x14ac:dyDescent="0.45">
      <c r="A32" s="26"/>
      <c r="B32" s="15" t="s">
        <v>14</v>
      </c>
      <c r="C32" s="29">
        <v>8000</v>
      </c>
      <c r="D32" s="32">
        <v>0.5</v>
      </c>
      <c r="E32" s="32">
        <v>0.54166666666666663</v>
      </c>
      <c r="F32" s="18"/>
      <c r="G32" s="24"/>
    </row>
    <row r="33" spans="1:7" x14ac:dyDescent="0.45">
      <c r="A33" s="26"/>
      <c r="B33" s="15"/>
      <c r="C33" s="29"/>
      <c r="D33" s="32">
        <v>0.54166666666666663</v>
      </c>
      <c r="E33" s="32">
        <v>0.625</v>
      </c>
      <c r="F33" s="18"/>
      <c r="G33" s="24"/>
    </row>
    <row r="34" spans="1:7" x14ac:dyDescent="0.45">
      <c r="A34" s="26"/>
      <c r="B34" s="13" t="s">
        <v>34</v>
      </c>
      <c r="C34" s="14"/>
      <c r="D34" s="31">
        <v>0.64583333333333337</v>
      </c>
      <c r="E34" s="31">
        <v>0.66666666666666663</v>
      </c>
      <c r="F34" s="18"/>
    </row>
    <row r="35" spans="1:7" x14ac:dyDescent="0.45">
      <c r="A35" s="26"/>
      <c r="B35" s="13" t="s">
        <v>35</v>
      </c>
      <c r="C35" s="14"/>
      <c r="D35" s="31">
        <v>0.66666666666666663</v>
      </c>
      <c r="E35" s="31">
        <v>0.75</v>
      </c>
      <c r="F35" s="18"/>
    </row>
    <row r="36" spans="1:7" x14ac:dyDescent="0.45">
      <c r="A36" s="26"/>
      <c r="B36" s="13" t="s">
        <v>36</v>
      </c>
      <c r="C36" s="14"/>
      <c r="D36" s="31">
        <v>0.75</v>
      </c>
      <c r="E36" s="31">
        <v>0.81597222222222221</v>
      </c>
      <c r="F36" s="18"/>
    </row>
    <row r="37" spans="1:7" x14ac:dyDescent="0.45">
      <c r="A37" s="26"/>
      <c r="B37" s="13" t="s">
        <v>37</v>
      </c>
      <c r="C37" s="14"/>
      <c r="D37" s="31">
        <v>0.81597222222222221</v>
      </c>
      <c r="E37" s="31">
        <v>3.125E-2</v>
      </c>
      <c r="F37" s="18"/>
    </row>
    <row r="38" spans="1:7" x14ac:dyDescent="0.45">
      <c r="A38" s="27"/>
      <c r="B38" s="13" t="s">
        <v>38</v>
      </c>
      <c r="C38" s="14"/>
      <c r="D38" s="31">
        <v>8.3333333333333329E-2</v>
      </c>
      <c r="E38" s="31">
        <v>0.125</v>
      </c>
      <c r="F38" s="18"/>
    </row>
    <row r="39" spans="1:7" x14ac:dyDescent="0.45">
      <c r="A39" s="13" t="s">
        <v>22</v>
      </c>
      <c r="B39" s="13" t="s">
        <v>23</v>
      </c>
      <c r="C39" s="20">
        <f>SUM(C8:C38)</f>
        <v>52100</v>
      </c>
      <c r="D39" s="21">
        <f>C39*27</f>
        <v>1406700</v>
      </c>
      <c r="E39" s="19"/>
    </row>
  </sheetData>
  <sortState xmlns:xlrd2="http://schemas.microsoft.com/office/spreadsheetml/2017/richdata2" ref="G8:H38">
    <sortCondition ref="H8:H38"/>
  </sortState>
  <mergeCells count="6">
    <mergeCell ref="G31:G33"/>
    <mergeCell ref="A13:A20"/>
    <mergeCell ref="D1:E1"/>
    <mergeCell ref="A21:A29"/>
    <mergeCell ref="A30:A38"/>
    <mergeCell ref="A2:A12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7월 예산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백승현 (Seunghyun Baek) COSMAX</dc:creator>
  <cp:lastModifiedBy>백승현 (Seunghyun Baek) COSMAX</cp:lastModifiedBy>
  <cp:lastPrinted>2024-09-24T05:20:38Z</cp:lastPrinted>
  <dcterms:created xsi:type="dcterms:W3CDTF">2024-09-10T06:58:39Z</dcterms:created>
  <dcterms:modified xsi:type="dcterms:W3CDTF">2026-06-28T03:46:24Z</dcterms:modified>
</cp:coreProperties>
</file>