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업무파일\여행\"/>
    </mc:Choice>
  </mc:AlternateContent>
  <xr:revisionPtr revIDLastSave="0" documentId="8_{98A7D7B2-F578-453E-9ED9-95CB6DC31C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lculator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F12" i="1"/>
  <c r="E12" i="1"/>
  <c r="D12" i="1"/>
  <c r="G11" i="1"/>
  <c r="F11" i="1"/>
  <c r="E11" i="1"/>
  <c r="D11" i="1"/>
  <c r="G10" i="1"/>
  <c r="F10" i="1"/>
  <c r="E10" i="1"/>
  <c r="D10" i="1"/>
  <c r="H11" i="1" l="1"/>
  <c r="H10" i="1"/>
  <c r="H12" i="1"/>
  <c r="D16" i="1" l="1"/>
  <c r="D18" i="1" s="1"/>
  <c r="E18" i="1" s="1"/>
  <c r="D17" i="1" l="1"/>
  <c r="E17" i="1" s="1"/>
  <c r="E16" i="1"/>
</calcChain>
</file>

<file path=xl/sharedStrings.xml><?xml version="1.0" encoding="utf-8"?>
<sst xmlns="http://schemas.openxmlformats.org/spreadsheetml/2006/main" count="105" uniqueCount="83">
  <si>
    <t>⛳ 클락 골프 비용 계산기</t>
  </si>
  <si>
    <r>
      <rPr>
        <sz val="9"/>
        <color rgb="FF888888"/>
        <rFont val="Noto Sans CJK SC"/>
        <family val="2"/>
      </rPr>
      <t>노란색 셀에서 골프장</t>
    </r>
    <r>
      <rPr>
        <sz val="9"/>
        <color rgb="FF888888"/>
        <rFont val="Arial"/>
        <family val="2"/>
      </rPr>
      <t>·</t>
    </r>
    <r>
      <rPr>
        <sz val="9"/>
        <color rgb="FF888888"/>
        <rFont val="Noto Sans CJK SC"/>
        <family val="2"/>
      </rPr>
      <t>인원</t>
    </r>
    <r>
      <rPr>
        <sz val="9"/>
        <color rgb="FF888888"/>
        <rFont val="Arial"/>
        <family val="2"/>
      </rPr>
      <t>·</t>
    </r>
    <r>
      <rPr>
        <sz val="9"/>
        <color rgb="FF888888"/>
        <rFont val="Noto Sans CJK SC"/>
        <family val="2"/>
      </rPr>
      <t xml:space="preserve">요일을 선택하면 </t>
    </r>
    <r>
      <rPr>
        <sz val="9"/>
        <color rgb="FF888888"/>
        <rFont val="Arial"/>
        <family val="2"/>
      </rPr>
      <t>1</t>
    </r>
    <r>
      <rPr>
        <sz val="9"/>
        <color rgb="FF888888"/>
        <rFont val="Noto Sans CJK SC"/>
        <family val="2"/>
      </rPr>
      <t xml:space="preserve">인당 비용이 자동 계산됩니다 </t>
    </r>
    <r>
      <rPr>
        <sz val="9"/>
        <color rgb="FF888888"/>
        <rFont val="Arial"/>
        <family val="2"/>
      </rPr>
      <t>(PHP)</t>
    </r>
  </si>
  <si>
    <t>⚙️ 공통 설정</t>
  </si>
  <si>
    <t>인원수</t>
  </si>
  <si>
    <t>명</t>
  </si>
  <si>
    <t>환율 ₱→₩</t>
  </si>
  <si>
    <r>
      <rPr>
        <sz val="10"/>
        <rFont val="Noto Sans CJK SC"/>
        <family val="2"/>
      </rPr>
      <t>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페소</t>
    </r>
  </si>
  <si>
    <t>🏌️ 라운드별 설정 및 자동 계산</t>
  </si>
  <si>
    <t>골프장</t>
  </si>
  <si>
    <t>요일</t>
  </si>
  <si>
    <t>그린피</t>
  </si>
  <si>
    <t>캐디</t>
  </si>
  <si>
    <r>
      <rPr>
        <b/>
        <sz val="10"/>
        <color rgb="FFFFFFFF"/>
        <rFont val="Noto Sans CJK SC"/>
        <family val="2"/>
      </rPr>
      <t>카트</t>
    </r>
    <r>
      <rPr>
        <b/>
        <sz val="10"/>
        <color rgb="FFFFFFFF"/>
        <rFont val="Arial"/>
        <family val="2"/>
      </rPr>
      <t>(1</t>
    </r>
    <r>
      <rPr>
        <b/>
        <sz val="10"/>
        <color rgb="FFFFFFFF"/>
        <rFont val="Noto Sans CJK SC"/>
        <family val="2"/>
      </rPr>
      <t>인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</si>
  <si>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보험</t>
    </r>
    <r>
      <rPr>
        <b/>
        <sz val="10"/>
        <color rgb="FFFFFFFF"/>
        <rFont val="Arial"/>
        <family val="2"/>
      </rPr>
      <t>+</t>
    </r>
    <r>
      <rPr>
        <b/>
        <sz val="10"/>
        <color rgb="FFFFFFFF"/>
        <rFont val="Noto Sans CJK SC"/>
        <family val="2"/>
      </rPr>
      <t>컨슈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</si>
  <si>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인 합계</t>
    </r>
    <r>
      <rPr>
        <b/>
        <sz val="10"/>
        <color rgb="FFFFFFFF"/>
        <rFont val="Arial"/>
        <family val="2"/>
      </rPr>
      <t>(₱)</t>
    </r>
  </si>
  <si>
    <r>
      <rPr>
        <b/>
        <sz val="10"/>
        <rFont val="Noto Sans CJK SC"/>
        <family val="2"/>
      </rPr>
      <t xml:space="preserve">라운드 </t>
    </r>
    <r>
      <rPr>
        <b/>
        <sz val="10"/>
        <rFont val="Arial"/>
        <family val="2"/>
      </rPr>
      <t>1</t>
    </r>
  </si>
  <si>
    <t>Luisita</t>
  </si>
  <si>
    <t>주말</t>
  </si>
  <si>
    <r>
      <rPr>
        <b/>
        <sz val="10"/>
        <rFont val="Noto Sans CJK SC"/>
        <family val="2"/>
      </rPr>
      <t xml:space="preserve">라운드 </t>
    </r>
    <r>
      <rPr>
        <b/>
        <sz val="10"/>
        <rFont val="Arial"/>
        <family val="2"/>
      </rPr>
      <t>2</t>
    </r>
  </si>
  <si>
    <t>Pradera_May</t>
  </si>
  <si>
    <r>
      <rPr>
        <b/>
        <sz val="10"/>
        <rFont val="Noto Sans CJK SC"/>
        <family val="2"/>
      </rPr>
      <t xml:space="preserve">라운드 </t>
    </r>
    <r>
      <rPr>
        <b/>
        <sz val="10"/>
        <rFont val="Arial"/>
        <family val="2"/>
      </rPr>
      <t>3</t>
    </r>
  </si>
  <si>
    <t>Korea</t>
  </si>
  <si>
    <t>주중</t>
  </si>
  <si>
    <t>📊 합계</t>
  </si>
  <si>
    <r>
      <rPr>
        <b/>
        <sz val="10"/>
        <color rgb="FFFFFFFF"/>
        <rFont val="Noto Sans CJK SC"/>
        <family val="2"/>
      </rPr>
      <t>페소</t>
    </r>
    <r>
      <rPr>
        <b/>
        <sz val="10"/>
        <color rgb="FFFFFFFF"/>
        <rFont val="Arial"/>
        <family val="2"/>
      </rPr>
      <t>(₱)</t>
    </r>
  </si>
  <si>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(₩)</t>
    </r>
  </si>
  <si>
    <r>
      <rPr>
        <b/>
        <sz val="10"/>
        <rFont val="Arial"/>
        <family val="2"/>
      </rPr>
      <t>3</t>
    </r>
    <r>
      <rPr>
        <b/>
        <sz val="10"/>
        <rFont val="Noto Sans CJK SC"/>
        <family val="2"/>
      </rPr>
      <t xml:space="preserve">라운드 합계 </t>
    </r>
    <r>
      <rPr>
        <b/>
        <sz val="10"/>
        <rFont val="Arial"/>
        <family val="2"/>
      </rPr>
      <t>(1</t>
    </r>
    <r>
      <rPr>
        <b/>
        <sz val="10"/>
        <rFont val="Noto Sans CJK SC"/>
        <family val="2"/>
      </rPr>
      <t>인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</si>
  <si>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>1</t>
    </r>
    <r>
      <rPr>
        <b/>
        <sz val="10"/>
        <rFont val="Noto Sans CJK SC"/>
        <family val="2"/>
      </rPr>
      <t xml:space="preserve">라운드 평균 </t>
    </r>
    <r>
      <rPr>
        <b/>
        <sz val="10"/>
        <rFont val="Arial"/>
        <family val="2"/>
      </rPr>
      <t>(1</t>
    </r>
    <r>
      <rPr>
        <b/>
        <sz val="10"/>
        <rFont val="Noto Sans CJK SC"/>
        <family val="2"/>
      </rPr>
      <t>인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</si>
  <si>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전체 합계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인원수</t>
    </r>
    <r>
      <rPr>
        <b/>
        <sz val="10"/>
        <rFont val="Arial"/>
        <family val="2"/>
      </rPr>
      <t>×3</t>
    </r>
    <r>
      <rPr>
        <b/>
        <sz val="10"/>
        <rFont val="Noto Sans CJK SC"/>
        <family val="2"/>
      </rPr>
      <t>라운드</t>
    </r>
    <r>
      <rPr>
        <b/>
        <sz val="10"/>
        <rFont val="Arial"/>
        <family val="2"/>
      </rPr>
      <t>)</t>
    </r>
  </si>
  <si>
    <r>
      <rPr>
        <b/>
        <sz val="12"/>
        <color rgb="FF1F4E79"/>
        <rFont val="Noto Sans CJK SC"/>
        <family val="2"/>
      </rPr>
      <t xml:space="preserve">📖 골프장 </t>
    </r>
    <r>
      <rPr>
        <b/>
        <sz val="12"/>
        <color rgb="FF1F4E79"/>
        <rFont val="Arial"/>
        <family val="2"/>
      </rPr>
      <t xml:space="preserve">ID </t>
    </r>
    <r>
      <rPr>
        <b/>
        <sz val="12"/>
        <color rgb="FF1F4E79"/>
        <rFont val="Noto Sans CJK SC"/>
        <family val="2"/>
      </rPr>
      <t>참조표</t>
    </r>
  </si>
  <si>
    <t>ID</t>
  </si>
  <si>
    <t>골프장명</t>
  </si>
  <si>
    <r>
      <rPr>
        <b/>
        <sz val="10"/>
        <color rgb="FFFFFFFF"/>
        <rFont val="Noto Sans CJK SC"/>
        <family val="2"/>
      </rPr>
      <t>그린피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주중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</si>
  <si>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그린피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주말</t>
    </r>
    <r>
      <rPr>
        <b/>
        <sz val="10"/>
        <color rgb="FFFFFFFF"/>
        <rFont val="Arial"/>
        <family val="2"/>
      </rPr>
      <t>)</t>
    </r>
  </si>
  <si>
    <t>SunValley_General</t>
  </si>
  <si>
    <r>
      <rPr>
        <sz val="10"/>
        <rFont val="Noto Sans CJK SC"/>
        <family val="2"/>
      </rPr>
      <t>썬밸리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일반</t>
    </r>
    <r>
      <rPr>
        <sz val="10"/>
        <rFont val="Arial"/>
        <family val="2"/>
      </rPr>
      <t>) 4.1~</t>
    </r>
  </si>
  <si>
    <t>SunValley_Member</t>
  </si>
  <si>
    <r>
      <rPr>
        <sz val="10"/>
        <rFont val="Noto Sans CJK SC"/>
        <family val="2"/>
      </rPr>
      <t>썬밸리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멤버</t>
    </r>
    <r>
      <rPr>
        <sz val="10"/>
        <rFont val="Arial"/>
        <family val="2"/>
      </rPr>
      <t>) 4.1~</t>
    </r>
  </si>
  <si>
    <r>
      <rPr>
        <sz val="10"/>
        <rFont val="Noto Sans CJK SC"/>
        <family val="2"/>
      </rPr>
      <t xml:space="preserve">코리아 </t>
    </r>
    <r>
      <rPr>
        <sz val="10"/>
        <rFont val="Arial"/>
        <family val="2"/>
      </rPr>
      <t>3.9~</t>
    </r>
  </si>
  <si>
    <t>Mimosa</t>
  </si>
  <si>
    <r>
      <rPr>
        <sz val="10"/>
        <rFont val="Noto Sans CJK SC"/>
        <family val="2"/>
      </rPr>
      <t xml:space="preserve">미모사 </t>
    </r>
    <r>
      <rPr>
        <sz val="10"/>
        <rFont val="Arial"/>
        <family val="2"/>
      </rPr>
      <t>(~3.31)</t>
    </r>
  </si>
  <si>
    <t>Royal</t>
  </si>
  <si>
    <r>
      <rPr>
        <sz val="10"/>
        <rFont val="Noto Sans CJK SC"/>
        <family val="2"/>
      </rPr>
      <t xml:space="preserve">로얄 </t>
    </r>
    <r>
      <rPr>
        <sz val="10"/>
        <rFont val="Arial"/>
        <family val="2"/>
      </rPr>
      <t>3.16~</t>
    </r>
  </si>
  <si>
    <t>HanReserve</t>
  </si>
  <si>
    <r>
      <rPr>
        <sz val="10"/>
        <rFont val="Noto Sans CJK SC"/>
        <family val="2"/>
      </rPr>
      <t xml:space="preserve">한리저브 </t>
    </r>
    <r>
      <rPr>
        <sz val="10"/>
        <rFont val="Arial"/>
        <family val="2"/>
      </rPr>
      <t>(1.10~4.30)</t>
    </r>
  </si>
  <si>
    <r>
      <rPr>
        <sz val="10"/>
        <rFont val="Noto Sans CJK SC"/>
        <family val="2"/>
      </rPr>
      <t xml:space="preserve">프라데라 </t>
    </r>
    <r>
      <rPr>
        <sz val="10"/>
        <rFont val="Arial"/>
        <family val="2"/>
      </rPr>
      <t>(5.1~)</t>
    </r>
  </si>
  <si>
    <t>Pradera_Apr</t>
  </si>
  <si>
    <r>
      <rPr>
        <sz val="10"/>
        <rFont val="Noto Sans CJK SC"/>
        <family val="2"/>
      </rPr>
      <t xml:space="preserve">프라데라 </t>
    </r>
    <r>
      <rPr>
        <sz val="10"/>
        <rFont val="Arial"/>
        <family val="2"/>
      </rPr>
      <t>(4</t>
    </r>
    <r>
      <rPr>
        <sz val="10"/>
        <rFont val="Noto Sans CJK SC"/>
        <family val="2"/>
      </rPr>
      <t>월프로모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</si>
  <si>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루이시타 </t>
    </r>
    <r>
      <rPr>
        <sz val="10"/>
        <rFont val="Arial"/>
        <family val="2"/>
      </rPr>
      <t>(3.16~)</t>
    </r>
  </si>
  <si>
    <t>Beverly</t>
  </si>
  <si>
    <r>
      <rPr>
        <sz val="10"/>
        <rFont val="Noto Sans CJK SC"/>
        <family val="2"/>
      </rPr>
      <t xml:space="preserve">베버리 </t>
    </r>
    <r>
      <rPr>
        <sz val="10"/>
        <rFont val="Arial"/>
        <family val="2"/>
      </rPr>
      <t>(3.16~)</t>
    </r>
  </si>
  <si>
    <t>NewAsia</t>
  </si>
  <si>
    <r>
      <rPr>
        <sz val="10"/>
        <rFont val="Noto Sans CJK SC"/>
        <family val="2"/>
      </rPr>
      <t xml:space="preserve">뉴아시아 </t>
    </r>
    <r>
      <rPr>
        <sz val="10"/>
        <rFont val="Arial"/>
        <family val="2"/>
      </rPr>
      <t>(3.16~)</t>
    </r>
  </si>
  <si>
    <t>Lakewood</t>
  </si>
  <si>
    <r>
      <rPr>
        <sz val="10"/>
        <rFont val="Noto Sans CJK SC"/>
        <family val="2"/>
      </rPr>
      <t xml:space="preserve">레이크우드 </t>
    </r>
    <r>
      <rPr>
        <sz val="10"/>
        <rFont val="Arial"/>
        <family val="2"/>
      </rPr>
      <t>(3.16~)</t>
    </r>
  </si>
  <si>
    <t>Subic</t>
  </si>
  <si>
    <r>
      <rPr>
        <sz val="10"/>
        <rFont val="Noto Sans CJK SC"/>
        <family val="2"/>
      </rPr>
      <t>수빅</t>
    </r>
    <r>
      <rPr>
        <sz val="10"/>
        <rFont val="Arial"/>
        <family val="2"/>
      </rPr>
      <t>CC (~3.31)</t>
    </r>
  </si>
  <si>
    <t>💡 사용법</t>
  </si>
  <si>
    <t xml:space="preserve">  • 노란색 셀을 클릭하면 드롭다운에서 선택 가능</t>
  </si>
  <si>
    <r>
      <rPr>
        <sz val="10"/>
        <rFont val="Noto Sans CJK SC"/>
        <family val="2"/>
      </rPr>
      <t xml:space="preserve">  • 골프장은 영문 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 xml:space="preserve">로 선택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위 참조표 확인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</si>
  <si>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  • 인원수</t>
    </r>
    <r>
      <rPr>
        <sz val="10"/>
        <rFont val="Arial"/>
        <family val="2"/>
      </rPr>
      <t>(2/3/4)</t>
    </r>
    <r>
      <rPr>
        <sz val="10"/>
        <rFont val="Noto Sans CJK SC"/>
        <family val="2"/>
      </rPr>
      <t>에 따라 카트 비용 자동 변경</t>
    </r>
  </si>
  <si>
    <r>
      <rPr>
        <sz val="10"/>
        <rFont val="Noto Sans CJK SC"/>
        <family val="2"/>
      </rPr>
      <t xml:space="preserve">  • 주중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주말 선택에 따라 그린피 자동 변경</t>
    </r>
  </si>
  <si>
    <t xml:space="preserve">  • 환율 수정 시 원화 합계도 자동 업데이트</t>
  </si>
  <si>
    <r>
      <rPr>
        <sz val="10"/>
        <rFont val="Arial"/>
        <family val="2"/>
      </rPr>
      <t xml:space="preserve">  • DATA </t>
    </r>
    <r>
      <rPr>
        <sz val="10"/>
        <rFont val="Noto Sans CJK SC"/>
        <family val="2"/>
      </rPr>
      <t>시트에서 골프장 요금 직접 수정 가능</t>
    </r>
  </si>
  <si>
    <r>
      <rPr>
        <b/>
        <sz val="10"/>
        <color rgb="FFFFFFFF"/>
        <rFont val="Noto Sans CJK SC"/>
        <family val="2"/>
      </rPr>
      <t>카트</t>
    </r>
    <r>
      <rPr>
        <b/>
        <sz val="10"/>
        <color rgb="FFFFFFFF"/>
        <rFont val="Arial"/>
        <family val="2"/>
      </rPr>
      <t>(2</t>
    </r>
    <r>
      <rPr>
        <b/>
        <sz val="10"/>
        <color rgb="FFFFFFFF"/>
        <rFont val="Noto Sans CJK SC"/>
        <family val="2"/>
      </rPr>
      <t>인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</si>
  <si>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인</t>
    </r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카트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</si>
  <si>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인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카트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</si>
  <si>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인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카트</t>
    </r>
  </si>
  <si>
    <t>보험</t>
  </si>
  <si>
    <t>컨슈머블</t>
  </si>
  <si>
    <r>
      <rPr>
        <b/>
        <sz val="10"/>
        <rFont val="Noto Sans CJK SC"/>
        <family val="2"/>
      </rPr>
      <t>썬밸리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일반</t>
    </r>
    <r>
      <rPr>
        <b/>
        <sz val="10"/>
        <rFont val="Arial"/>
        <family val="2"/>
      </rPr>
      <t>) 4.1~</t>
    </r>
  </si>
  <si>
    <r>
      <rPr>
        <b/>
        <sz val="10"/>
        <rFont val="Noto Sans CJK SC"/>
        <family val="2"/>
      </rPr>
      <t>썬밸리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멤버</t>
    </r>
    <r>
      <rPr>
        <b/>
        <sz val="10"/>
        <rFont val="Arial"/>
        <family val="2"/>
      </rPr>
      <t>) 4.1~</t>
    </r>
  </si>
  <si>
    <r>
      <rPr>
        <b/>
        <sz val="10"/>
        <rFont val="Noto Sans CJK SC"/>
        <family val="2"/>
      </rPr>
      <t xml:space="preserve">코리아 </t>
    </r>
    <r>
      <rPr>
        <b/>
        <sz val="10"/>
        <rFont val="Arial"/>
        <family val="2"/>
      </rPr>
      <t>3.9~</t>
    </r>
  </si>
  <si>
    <r>
      <rPr>
        <b/>
        <sz val="10"/>
        <rFont val="Noto Sans CJK SC"/>
        <family val="2"/>
      </rPr>
      <t xml:space="preserve">미모사 </t>
    </r>
    <r>
      <rPr>
        <b/>
        <sz val="10"/>
        <rFont val="Arial"/>
        <family val="2"/>
      </rPr>
      <t>(~3.31)</t>
    </r>
  </si>
  <si>
    <r>
      <rPr>
        <b/>
        <sz val="10"/>
        <rFont val="Noto Sans CJK SC"/>
        <family val="2"/>
      </rPr>
      <t xml:space="preserve">로얄 </t>
    </r>
    <r>
      <rPr>
        <b/>
        <sz val="10"/>
        <rFont val="Arial"/>
        <family val="2"/>
      </rPr>
      <t>3.16~</t>
    </r>
  </si>
  <si>
    <r>
      <rPr>
        <b/>
        <sz val="10"/>
        <rFont val="Noto Sans CJK SC"/>
        <family val="2"/>
      </rPr>
      <t xml:space="preserve">한리저브 </t>
    </r>
    <r>
      <rPr>
        <b/>
        <sz val="10"/>
        <rFont val="Arial"/>
        <family val="2"/>
      </rPr>
      <t>(1.10~4.30)</t>
    </r>
  </si>
  <si>
    <r>
      <rPr>
        <b/>
        <sz val="10"/>
        <rFont val="Noto Sans CJK SC"/>
        <family val="2"/>
      </rPr>
      <t xml:space="preserve">프라데라 </t>
    </r>
    <r>
      <rPr>
        <b/>
        <sz val="10"/>
        <rFont val="Arial"/>
        <family val="2"/>
      </rPr>
      <t>(5.1~)</t>
    </r>
  </si>
  <si>
    <r>
      <rPr>
        <b/>
        <sz val="10"/>
        <rFont val="Noto Sans CJK SC"/>
        <family val="2"/>
      </rPr>
      <t xml:space="preserve">프라데라 </t>
    </r>
    <r>
      <rPr>
        <b/>
        <sz val="10"/>
        <rFont val="Arial"/>
        <family val="2"/>
      </rPr>
      <t>(4</t>
    </r>
    <r>
      <rPr>
        <b/>
        <sz val="10"/>
        <rFont val="Noto Sans CJK SC"/>
        <family val="2"/>
      </rPr>
      <t>월프로모</t>
    </r>
    <r>
      <rPr>
        <b/>
        <sz val="10"/>
        <rFont val="Arial"/>
        <family val="2"/>
      </rPr>
      <t>)</t>
    </r>
  </si>
  <si>
    <r>
      <rPr>
        <b/>
        <sz val="10"/>
        <rFont val="Noto Sans CJK SC"/>
        <family val="2"/>
      </rPr>
      <t xml:space="preserve">루이시타 </t>
    </r>
    <r>
      <rPr>
        <b/>
        <sz val="10"/>
        <rFont val="Arial"/>
        <family val="2"/>
      </rPr>
      <t>(3.16~)</t>
    </r>
  </si>
  <si>
    <r>
      <rPr>
        <b/>
        <sz val="10"/>
        <rFont val="Noto Sans CJK SC"/>
        <family val="2"/>
      </rPr>
      <t xml:space="preserve">베버리 </t>
    </r>
    <r>
      <rPr>
        <b/>
        <sz val="10"/>
        <rFont val="Arial"/>
        <family val="2"/>
      </rPr>
      <t>(3.16~)</t>
    </r>
  </si>
  <si>
    <r>
      <rPr>
        <b/>
        <sz val="10"/>
        <rFont val="Noto Sans CJK SC"/>
        <family val="2"/>
      </rPr>
      <t xml:space="preserve">뉴아시아 </t>
    </r>
    <r>
      <rPr>
        <b/>
        <sz val="10"/>
        <rFont val="Arial"/>
        <family val="2"/>
      </rPr>
      <t>(3.16~)</t>
    </r>
  </si>
  <si>
    <r>
      <rPr>
        <b/>
        <sz val="10"/>
        <rFont val="Noto Sans CJK SC"/>
        <family val="2"/>
      </rPr>
      <t xml:space="preserve">레이크우드 </t>
    </r>
    <r>
      <rPr>
        <b/>
        <sz val="10"/>
        <rFont val="Arial"/>
        <family val="2"/>
      </rPr>
      <t>(3.16~)</t>
    </r>
  </si>
  <si>
    <r>
      <rPr>
        <b/>
        <sz val="10"/>
        <rFont val="Noto Sans CJK SC"/>
        <family val="2"/>
      </rPr>
      <t>수빅</t>
    </r>
    <r>
      <rPr>
        <b/>
        <sz val="10"/>
        <rFont val="Arial"/>
        <family val="2"/>
      </rPr>
      <t>CC (~3.31)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</si>
</sst>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9"/>
      <name val="Noto Sans CJK SC"/>
      <family val="2"/>
    </font>
    <font>
      <sz val="9"/>
      <color rgb="FF888888"/>
      <name val="Noto Sans CJK SC"/>
      <family val="2"/>
    </font>
    <font>
      <sz val="9"/>
      <color rgb="FF888888"/>
      <name val="Arial"/>
      <family val="2"/>
    </font>
    <font>
      <b/>
      <sz val="12"/>
      <color rgb="FF1F4E79"/>
      <name val="Noto Sans CJK SC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2"/>
      <color rgb="FF1F4E79"/>
      <name val="Arial"/>
      <family val="2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FCE4EC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CE4EC"/>
        <bgColor rgb="FFFFF2CC"/>
      </patternFill>
    </fill>
    <fill>
      <patternFill patternType="solid">
        <fgColor rgb="FFF2F7FB"/>
        <b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3" fontId="9" fillId="5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3" fontId="9" fillId="7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000"/>
      <rgbColor rgb="FFFF9900"/>
      <rgbColor rgb="FFFF6600"/>
      <rgbColor rgb="FF666699"/>
      <rgbColor rgb="FF888888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H42"/>
  <sheetViews>
    <sheetView tabSelected="1" zoomScaleNormal="100" workbookViewId="0">
      <selection activeCell="H23" sqref="H23"/>
    </sheetView>
  </sheetViews>
  <sheetFormatPr defaultColWidth="8.7109375" defaultRowHeight="15"/>
  <cols>
    <col min="1" max="1" width="14" customWidth="1"/>
    <col min="2" max="2" width="20" customWidth="1"/>
    <col min="3" max="3" width="10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ht="18">
      <c r="A1" s="8" t="s">
        <v>0</v>
      </c>
      <c r="B1" s="8"/>
      <c r="C1" s="8"/>
      <c r="D1" s="8"/>
      <c r="E1" s="8"/>
      <c r="F1" s="8"/>
      <c r="G1" s="8"/>
      <c r="H1" s="8"/>
    </row>
    <row r="2" spans="1:8">
      <c r="A2" s="7" t="s">
        <v>1</v>
      </c>
      <c r="B2" s="7"/>
      <c r="C2" s="7"/>
      <c r="D2" s="7"/>
      <c r="E2" s="7"/>
      <c r="F2" s="7"/>
      <c r="G2" s="7"/>
      <c r="H2" s="7"/>
    </row>
    <row r="4" spans="1:8" ht="15.75">
      <c r="A4" s="6" t="s">
        <v>2</v>
      </c>
      <c r="B4" s="6"/>
    </row>
    <row r="5" spans="1:8">
      <c r="A5" s="9" t="s">
        <v>3</v>
      </c>
      <c r="B5" s="10">
        <v>4</v>
      </c>
      <c r="C5" s="11" t="s">
        <v>4</v>
      </c>
    </row>
    <row r="6" spans="1:8">
      <c r="A6" s="9" t="s">
        <v>5</v>
      </c>
      <c r="B6" s="10">
        <v>24.97</v>
      </c>
      <c r="C6" s="11" t="s">
        <v>6</v>
      </c>
    </row>
    <row r="8" spans="1:8" ht="15.75">
      <c r="A8" s="6" t="s">
        <v>7</v>
      </c>
      <c r="B8" s="6"/>
      <c r="C8" s="6"/>
      <c r="D8" s="6"/>
      <c r="E8" s="6"/>
      <c r="F8" s="6"/>
      <c r="G8" s="6"/>
      <c r="H8" s="6"/>
    </row>
    <row r="9" spans="1:8">
      <c r="A9" s="12"/>
      <c r="B9" s="13" t="s">
        <v>8</v>
      </c>
      <c r="C9" s="13" t="s">
        <v>9</v>
      </c>
      <c r="D9" s="13" t="s">
        <v>10</v>
      </c>
      <c r="E9" s="13" t="s">
        <v>11</v>
      </c>
      <c r="F9" s="13" t="s">
        <v>12</v>
      </c>
      <c r="G9" s="13" t="s">
        <v>13</v>
      </c>
      <c r="H9" s="12" t="s">
        <v>14</v>
      </c>
    </row>
    <row r="10" spans="1:8">
      <c r="A10" s="9" t="s">
        <v>15</v>
      </c>
      <c r="B10" s="10" t="s">
        <v>16</v>
      </c>
      <c r="C10" s="14" t="s">
        <v>17</v>
      </c>
      <c r="D10" s="15">
        <f>IF(C10="주중",INDEX(DATA!$C$2:$C$14,MATCH(B10,DATA!$A$2:$A$14,0)),INDEX(DATA!$D$2:$D$14,MATCH(B10,DATA!$A$2:$A$14,0)))</f>
        <v>2000</v>
      </c>
      <c r="E10" s="15">
        <f>INDEX(DATA!$E$2:$E$14,MATCH(B10,DATA!$A$2:$A$14,0))</f>
        <v>600</v>
      </c>
      <c r="F10" s="15">
        <f>IF($B$5=2,INDEX(DATA!$G$2:$G$14,MATCH(B10,DATA!$A$2:$A$14,0)),IF($B$5=3,INDEX(DATA!$H$2:$H$14,MATCH(B10,DATA!$A$2:$A$14,0)),INDEX(DATA!$I$2:$I$14,MATCH(B10,DATA!$A$2:$A$14,0))))</f>
        <v>800</v>
      </c>
      <c r="G10" s="15">
        <f>INDEX(DATA!$J$2:$J$14,MATCH(B10,DATA!$A$2:$A$14,0))+INDEX(DATA!$K$2:$K$14,MATCH(B10,DATA!$A$2:$A$14,0))</f>
        <v>400</v>
      </c>
      <c r="H10" s="16">
        <f>SUM(D10:G10)</f>
        <v>3800</v>
      </c>
    </row>
    <row r="11" spans="1:8">
      <c r="A11" s="9" t="s">
        <v>18</v>
      </c>
      <c r="B11" s="10" t="s">
        <v>19</v>
      </c>
      <c r="C11" s="14" t="s">
        <v>17</v>
      </c>
      <c r="D11" s="15">
        <f>IF(C11="주중",INDEX(DATA!$C$2:$C$14,MATCH(B11,DATA!$A$2:$A$14,0)),INDEX(DATA!$D$2:$D$14,MATCH(B11,DATA!$A$2:$A$14,0)))</f>
        <v>2700</v>
      </c>
      <c r="E11" s="15">
        <f>INDEX(DATA!$E$2:$E$14,MATCH(B11,DATA!$A$2:$A$14,0))</f>
        <v>600</v>
      </c>
      <c r="F11" s="15">
        <f>IF($B$5=2,INDEX(DATA!$G$2:$G$14,MATCH(B11,DATA!$A$2:$A$14,0)),IF($B$5=3,INDEX(DATA!$H$2:$H$14,MATCH(B11,DATA!$A$2:$A$14,0)),INDEX(DATA!$I$2:$I$14,MATCH(B11,DATA!$A$2:$A$14,0))))</f>
        <v>750</v>
      </c>
      <c r="G11" s="15">
        <f>INDEX(DATA!$J$2:$J$14,MATCH(B11,DATA!$A$2:$A$14,0))+INDEX(DATA!$K$2:$K$14,MATCH(B11,DATA!$A$2:$A$14,0))</f>
        <v>450</v>
      </c>
      <c r="H11" s="16">
        <f>SUM(D11:G11)</f>
        <v>4500</v>
      </c>
    </row>
    <row r="12" spans="1:8">
      <c r="A12" s="9" t="s">
        <v>20</v>
      </c>
      <c r="B12" s="10" t="s">
        <v>21</v>
      </c>
      <c r="C12" s="14" t="s">
        <v>22</v>
      </c>
      <c r="D12" s="15">
        <f>IF(C12="주중",INDEX(DATA!$C$2:$C$14,MATCH(B12,DATA!$A$2:$A$14,0)),INDEX(DATA!$D$2:$D$14,MATCH(B12,DATA!$A$2:$A$14,0)))</f>
        <v>1800</v>
      </c>
      <c r="E12" s="15">
        <f>INDEX(DATA!$E$2:$E$14,MATCH(B12,DATA!$A$2:$A$14,0))</f>
        <v>600</v>
      </c>
      <c r="F12" s="15">
        <f>IF($B$5=2,INDEX(DATA!$G$2:$G$14,MATCH(B12,DATA!$A$2:$A$14,0)),IF($B$5=3,INDEX(DATA!$H$2:$H$14,MATCH(B12,DATA!$A$2:$A$14,0)),INDEX(DATA!$I$2:$I$14,MATCH(B12,DATA!$A$2:$A$14,0))))</f>
        <v>1000</v>
      </c>
      <c r="G12" s="15">
        <f>INDEX(DATA!$J$2:$J$14,MATCH(B12,DATA!$A$2:$A$14,0))+INDEX(DATA!$K$2:$K$14,MATCH(B12,DATA!$A$2:$A$14,0))</f>
        <v>150</v>
      </c>
      <c r="H12" s="16">
        <f>SUM(D12:G12)</f>
        <v>3550</v>
      </c>
    </row>
    <row r="14" spans="1:8" ht="15.75">
      <c r="A14" s="6" t="s">
        <v>23</v>
      </c>
      <c r="B14" s="6"/>
      <c r="C14" s="6"/>
      <c r="D14" s="6"/>
      <c r="E14" s="6"/>
      <c r="F14" s="6"/>
      <c r="G14" s="6"/>
      <c r="H14" s="6"/>
    </row>
    <row r="15" spans="1:8">
      <c r="A15" s="5"/>
      <c r="B15" s="5"/>
      <c r="C15" s="5"/>
      <c r="D15" s="18" t="s">
        <v>24</v>
      </c>
      <c r="E15" s="18" t="s">
        <v>25</v>
      </c>
      <c r="F15" s="18"/>
      <c r="G15" s="18"/>
      <c r="H15" s="18"/>
    </row>
    <row r="16" spans="1:8">
      <c r="A16" s="4" t="s">
        <v>26</v>
      </c>
      <c r="B16" s="4"/>
      <c r="C16" s="4"/>
      <c r="D16" s="16">
        <f>H10+H11+H12</f>
        <v>11850</v>
      </c>
      <c r="E16" s="16">
        <f>D16*$B$6</f>
        <v>295894.5</v>
      </c>
    </row>
    <row r="17" spans="1:8">
      <c r="A17" s="4" t="s">
        <v>27</v>
      </c>
      <c r="B17" s="4"/>
      <c r="C17" s="4"/>
      <c r="D17" s="19">
        <f>D16/3</f>
        <v>3950</v>
      </c>
      <c r="E17" s="19">
        <f>D17*$B$6</f>
        <v>98631.5</v>
      </c>
    </row>
    <row r="18" spans="1:8">
      <c r="A18" s="3" t="s">
        <v>28</v>
      </c>
      <c r="B18" s="3"/>
      <c r="C18" s="3"/>
      <c r="D18" s="20">
        <f>D16*$B$5</f>
        <v>47400</v>
      </c>
      <c r="E18" s="20">
        <f>D18*$B$6</f>
        <v>1183578</v>
      </c>
    </row>
    <row r="20" spans="1:8" ht="15.75">
      <c r="A20" s="6" t="s">
        <v>29</v>
      </c>
      <c r="B20" s="6"/>
      <c r="C20" s="6"/>
      <c r="D20" s="6"/>
      <c r="E20" s="6"/>
      <c r="F20" s="6"/>
      <c r="G20" s="6"/>
      <c r="H20" s="6"/>
    </row>
    <row r="21" spans="1:8">
      <c r="A21" s="17" t="s">
        <v>30</v>
      </c>
      <c r="B21" s="18" t="s">
        <v>31</v>
      </c>
      <c r="C21" s="18" t="s">
        <v>32</v>
      </c>
      <c r="D21" s="18" t="s">
        <v>33</v>
      </c>
    </row>
    <row r="22" spans="1:8">
      <c r="A22" s="21" t="s">
        <v>34</v>
      </c>
      <c r="B22" s="22" t="s">
        <v>35</v>
      </c>
      <c r="C22" s="23">
        <v>3000</v>
      </c>
      <c r="D22" s="23">
        <v>3500</v>
      </c>
    </row>
    <row r="23" spans="1:8">
      <c r="A23" s="24" t="s">
        <v>36</v>
      </c>
      <c r="B23" s="25" t="s">
        <v>37</v>
      </c>
      <c r="C23" s="15">
        <v>3300</v>
      </c>
      <c r="D23" s="15">
        <v>3800</v>
      </c>
    </row>
    <row r="24" spans="1:8">
      <c r="A24" s="21" t="s">
        <v>21</v>
      </c>
      <c r="B24" s="22" t="s">
        <v>38</v>
      </c>
      <c r="C24" s="23">
        <v>1800</v>
      </c>
      <c r="D24" s="23">
        <v>2400</v>
      </c>
    </row>
    <row r="25" spans="1:8">
      <c r="A25" s="24" t="s">
        <v>39</v>
      </c>
      <c r="B25" s="25" t="s">
        <v>40</v>
      </c>
      <c r="C25" s="15">
        <v>4500</v>
      </c>
      <c r="D25" s="15">
        <v>5500</v>
      </c>
    </row>
    <row r="26" spans="1:8">
      <c r="A26" s="21" t="s">
        <v>41</v>
      </c>
      <c r="B26" s="22" t="s">
        <v>42</v>
      </c>
      <c r="C26" s="23">
        <v>1800</v>
      </c>
      <c r="D26" s="23">
        <v>2300</v>
      </c>
    </row>
    <row r="27" spans="1:8">
      <c r="A27" s="24" t="s">
        <v>43</v>
      </c>
      <c r="B27" s="25" t="s">
        <v>44</v>
      </c>
      <c r="C27" s="15">
        <v>12500</v>
      </c>
      <c r="D27" s="15">
        <v>12500</v>
      </c>
    </row>
    <row r="28" spans="1:8">
      <c r="A28" s="21" t="s">
        <v>19</v>
      </c>
      <c r="B28" s="22" t="s">
        <v>45</v>
      </c>
      <c r="C28" s="23">
        <v>2700</v>
      </c>
      <c r="D28" s="23">
        <v>2700</v>
      </c>
    </row>
    <row r="29" spans="1:8">
      <c r="A29" s="24" t="s">
        <v>46</v>
      </c>
      <c r="B29" s="25" t="s">
        <v>47</v>
      </c>
      <c r="C29" s="15">
        <v>1500</v>
      </c>
      <c r="D29" s="15">
        <v>1500</v>
      </c>
    </row>
    <row r="30" spans="1:8">
      <c r="A30" s="21" t="s">
        <v>16</v>
      </c>
      <c r="B30" s="22" t="s">
        <v>48</v>
      </c>
      <c r="C30" s="23">
        <v>2000</v>
      </c>
      <c r="D30" s="23">
        <v>2000</v>
      </c>
    </row>
    <row r="31" spans="1:8">
      <c r="A31" s="24" t="s">
        <v>49</v>
      </c>
      <c r="B31" s="25" t="s">
        <v>50</v>
      </c>
      <c r="C31" s="15">
        <v>1400</v>
      </c>
      <c r="D31" s="15">
        <v>1700</v>
      </c>
    </row>
    <row r="32" spans="1:8">
      <c r="A32" s="21" t="s">
        <v>51</v>
      </c>
      <c r="B32" s="22" t="s">
        <v>52</v>
      </c>
      <c r="C32" s="23">
        <v>1200</v>
      </c>
      <c r="D32" s="23">
        <v>1200</v>
      </c>
    </row>
    <row r="33" spans="1:8">
      <c r="A33" s="24" t="s">
        <v>53</v>
      </c>
      <c r="B33" s="25" t="s">
        <v>54</v>
      </c>
      <c r="C33" s="15">
        <v>1000</v>
      </c>
      <c r="D33" s="15">
        <v>1000</v>
      </c>
    </row>
    <row r="34" spans="1:8">
      <c r="A34" s="21" t="s">
        <v>55</v>
      </c>
      <c r="B34" s="22" t="s">
        <v>56</v>
      </c>
      <c r="C34" s="23">
        <v>6800</v>
      </c>
      <c r="D34" s="23">
        <v>10800</v>
      </c>
    </row>
    <row r="36" spans="1:8" ht="15.75">
      <c r="A36" s="6" t="s">
        <v>57</v>
      </c>
      <c r="B36" s="6"/>
      <c r="C36" s="6"/>
      <c r="D36" s="6"/>
      <c r="E36" s="6"/>
      <c r="F36" s="6"/>
      <c r="G36" s="6"/>
      <c r="H36" s="6"/>
    </row>
    <row r="37" spans="1:8">
      <c r="A37" s="2" t="s">
        <v>58</v>
      </c>
      <c r="B37" s="2"/>
      <c r="C37" s="2"/>
      <c r="D37" s="2"/>
      <c r="E37" s="2"/>
      <c r="F37" s="2"/>
      <c r="G37" s="2"/>
      <c r="H37" s="2"/>
    </row>
    <row r="38" spans="1:8">
      <c r="A38" s="2" t="s">
        <v>59</v>
      </c>
      <c r="B38" s="2"/>
      <c r="C38" s="2"/>
      <c r="D38" s="2"/>
      <c r="E38" s="2"/>
      <c r="F38" s="2"/>
      <c r="G38" s="2"/>
      <c r="H38" s="2"/>
    </row>
    <row r="39" spans="1:8">
      <c r="A39" s="2" t="s">
        <v>60</v>
      </c>
      <c r="B39" s="2"/>
      <c r="C39" s="2"/>
      <c r="D39" s="2"/>
      <c r="E39" s="2"/>
      <c r="F39" s="2"/>
      <c r="G39" s="2"/>
      <c r="H39" s="2"/>
    </row>
    <row r="40" spans="1:8">
      <c r="A40" s="2" t="s">
        <v>61</v>
      </c>
      <c r="B40" s="2"/>
      <c r="C40" s="2"/>
      <c r="D40" s="2"/>
      <c r="E40" s="2"/>
      <c r="F40" s="2"/>
      <c r="G40" s="2"/>
      <c r="H40" s="2"/>
    </row>
    <row r="41" spans="1:8">
      <c r="A41" s="2" t="s">
        <v>62</v>
      </c>
      <c r="B41" s="2"/>
      <c r="C41" s="2"/>
      <c r="D41" s="2"/>
      <c r="E41" s="2"/>
      <c r="F41" s="2"/>
      <c r="G41" s="2"/>
      <c r="H41" s="2"/>
    </row>
    <row r="42" spans="1:8">
      <c r="A42" s="1" t="s">
        <v>63</v>
      </c>
      <c r="B42" s="1"/>
      <c r="C42" s="1"/>
      <c r="D42" s="1"/>
      <c r="E42" s="1"/>
      <c r="F42" s="1"/>
      <c r="G42" s="1"/>
      <c r="H42" s="1"/>
    </row>
  </sheetData>
  <mergeCells count="17">
    <mergeCell ref="A41:H41"/>
    <mergeCell ref="A42:H42"/>
    <mergeCell ref="A36:H36"/>
    <mergeCell ref="A37:H37"/>
    <mergeCell ref="A38:H38"/>
    <mergeCell ref="A39:H39"/>
    <mergeCell ref="A40:H40"/>
    <mergeCell ref="A15:C15"/>
    <mergeCell ref="A16:C16"/>
    <mergeCell ref="A17:C17"/>
    <mergeCell ref="A18:C18"/>
    <mergeCell ref="A20:H20"/>
    <mergeCell ref="A1:H1"/>
    <mergeCell ref="A2:H2"/>
    <mergeCell ref="A4:B4"/>
    <mergeCell ref="A8:H8"/>
    <mergeCell ref="A14:H14"/>
  </mergeCells>
  <phoneticPr fontId="13" type="noConversion"/>
  <dataValidations count="3">
    <dataValidation type="list" sqref="B5" xr:uid="{00000000-0002-0000-0000-000000000000}">
      <formula1>"2,3,4"</formula1>
      <formula2>0</formula2>
    </dataValidation>
    <dataValidation type="list" sqref="B10:B12" xr:uid="{00000000-0002-0000-0000-000001000000}">
      <formula1>"SunValley_General,SunValley_Member,Korea,Mimosa,Royal,HanReserve,Pradera_May,Pradera_Apr,Luisita,Beverly,NewAsia,Lakewood,Subic"</formula1>
      <formula2>0</formula2>
    </dataValidation>
    <dataValidation type="list" sqref="C10:C12" xr:uid="{00000000-0002-0000-0000-000002000000}">
      <formula1>"주중,주말"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K14"/>
  <sheetViews>
    <sheetView zoomScaleNormal="100" workbookViewId="0"/>
  </sheetViews>
  <sheetFormatPr defaultColWidth="8.7109375" defaultRowHeight="15"/>
  <cols>
    <col min="1" max="1" width="18" customWidth="1"/>
    <col min="2" max="2" width="24" customWidth="1"/>
    <col min="3" max="11" width="14" customWidth="1"/>
  </cols>
  <sheetData>
    <row r="1" spans="1:11">
      <c r="A1" s="12" t="s">
        <v>30</v>
      </c>
      <c r="B1" s="13" t="s">
        <v>8</v>
      </c>
      <c r="C1" s="13" t="s">
        <v>32</v>
      </c>
      <c r="D1" s="13" t="s">
        <v>33</v>
      </c>
      <c r="E1" s="13" t="s">
        <v>11</v>
      </c>
      <c r="F1" s="13" t="s">
        <v>64</v>
      </c>
      <c r="G1" s="12" t="s">
        <v>65</v>
      </c>
      <c r="H1" s="12" t="s">
        <v>66</v>
      </c>
      <c r="I1" s="12" t="s">
        <v>67</v>
      </c>
      <c r="J1" s="13" t="s">
        <v>68</v>
      </c>
      <c r="K1" s="13" t="s">
        <v>69</v>
      </c>
    </row>
    <row r="2" spans="1:11">
      <c r="A2" s="21" t="s">
        <v>34</v>
      </c>
      <c r="B2" s="26" t="s">
        <v>70</v>
      </c>
      <c r="C2" s="23">
        <v>3000</v>
      </c>
      <c r="D2" s="23">
        <v>3500</v>
      </c>
      <c r="E2" s="23">
        <v>700</v>
      </c>
      <c r="F2" s="23">
        <v>1500</v>
      </c>
      <c r="G2" s="23">
        <v>750</v>
      </c>
      <c r="H2" s="23">
        <v>1000</v>
      </c>
      <c r="I2" s="23">
        <v>750</v>
      </c>
      <c r="J2" s="23">
        <v>150</v>
      </c>
      <c r="K2" s="23">
        <v>0</v>
      </c>
    </row>
    <row r="3" spans="1:11">
      <c r="A3" s="24" t="s">
        <v>36</v>
      </c>
      <c r="B3" s="27" t="s">
        <v>71</v>
      </c>
      <c r="C3" s="15">
        <v>3300</v>
      </c>
      <c r="D3" s="15">
        <v>3800</v>
      </c>
      <c r="E3" s="15">
        <v>700</v>
      </c>
      <c r="F3" s="15">
        <v>1500</v>
      </c>
      <c r="G3" s="15">
        <v>750</v>
      </c>
      <c r="H3" s="15">
        <v>1000</v>
      </c>
      <c r="I3" s="15">
        <v>750</v>
      </c>
      <c r="J3" s="15">
        <v>150</v>
      </c>
      <c r="K3" s="15">
        <v>0</v>
      </c>
    </row>
    <row r="4" spans="1:11">
      <c r="A4" s="21" t="s">
        <v>21</v>
      </c>
      <c r="B4" s="26" t="s">
        <v>72</v>
      </c>
      <c r="C4" s="23">
        <v>1800</v>
      </c>
      <c r="D4" s="23">
        <v>2400</v>
      </c>
      <c r="E4" s="23">
        <v>600</v>
      </c>
      <c r="F4" s="23">
        <v>2000</v>
      </c>
      <c r="G4" s="23">
        <v>1000</v>
      </c>
      <c r="H4" s="23">
        <v>1333</v>
      </c>
      <c r="I4" s="23">
        <v>1000</v>
      </c>
      <c r="J4" s="23">
        <v>150</v>
      </c>
      <c r="K4" s="23">
        <v>0</v>
      </c>
    </row>
    <row r="5" spans="1:11">
      <c r="A5" s="24" t="s">
        <v>39</v>
      </c>
      <c r="B5" s="27" t="s">
        <v>73</v>
      </c>
      <c r="C5" s="15">
        <v>4500</v>
      </c>
      <c r="D5" s="15">
        <v>5500</v>
      </c>
      <c r="E5" s="15">
        <v>600</v>
      </c>
      <c r="F5" s="15">
        <v>1600</v>
      </c>
      <c r="G5" s="15">
        <v>800</v>
      </c>
      <c r="H5" s="15">
        <v>1067</v>
      </c>
      <c r="I5" s="15">
        <v>800</v>
      </c>
      <c r="J5" s="15">
        <v>0</v>
      </c>
      <c r="K5" s="15">
        <v>400</v>
      </c>
    </row>
    <row r="6" spans="1:11">
      <c r="A6" s="21" t="s">
        <v>41</v>
      </c>
      <c r="B6" s="26" t="s">
        <v>74</v>
      </c>
      <c r="C6" s="23">
        <v>1800</v>
      </c>
      <c r="D6" s="23">
        <v>2300</v>
      </c>
      <c r="E6" s="23">
        <v>600</v>
      </c>
      <c r="F6" s="23">
        <v>1600</v>
      </c>
      <c r="G6" s="23">
        <v>800</v>
      </c>
      <c r="H6" s="23">
        <v>1067</v>
      </c>
      <c r="I6" s="23">
        <v>800</v>
      </c>
      <c r="J6" s="23">
        <v>150</v>
      </c>
      <c r="K6" s="23">
        <v>300</v>
      </c>
    </row>
    <row r="7" spans="1:11">
      <c r="A7" s="24" t="s">
        <v>43</v>
      </c>
      <c r="B7" s="27" t="s">
        <v>75</v>
      </c>
      <c r="C7" s="15">
        <v>12500</v>
      </c>
      <c r="D7" s="15">
        <v>12500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</row>
    <row r="8" spans="1:11">
      <c r="A8" s="21" t="s">
        <v>19</v>
      </c>
      <c r="B8" s="26" t="s">
        <v>76</v>
      </c>
      <c r="C8" s="23">
        <v>2700</v>
      </c>
      <c r="D8" s="23">
        <v>2700</v>
      </c>
      <c r="E8" s="23">
        <v>600</v>
      </c>
      <c r="F8" s="23">
        <v>1500</v>
      </c>
      <c r="G8" s="23">
        <v>750</v>
      </c>
      <c r="H8" s="23">
        <v>1000</v>
      </c>
      <c r="I8" s="23">
        <v>750</v>
      </c>
      <c r="J8" s="23">
        <v>150</v>
      </c>
      <c r="K8" s="23">
        <v>300</v>
      </c>
    </row>
    <row r="9" spans="1:11">
      <c r="A9" s="24" t="s">
        <v>46</v>
      </c>
      <c r="B9" s="27" t="s">
        <v>77</v>
      </c>
      <c r="C9" s="15">
        <v>1500</v>
      </c>
      <c r="D9" s="15">
        <v>1500</v>
      </c>
      <c r="E9" s="15">
        <v>600</v>
      </c>
      <c r="F9" s="15">
        <v>1500</v>
      </c>
      <c r="G9" s="15">
        <v>750</v>
      </c>
      <c r="H9" s="15">
        <v>1000</v>
      </c>
      <c r="I9" s="15">
        <v>750</v>
      </c>
      <c r="J9" s="15">
        <v>150</v>
      </c>
      <c r="K9" s="15">
        <v>300</v>
      </c>
    </row>
    <row r="10" spans="1:11">
      <c r="A10" s="21" t="s">
        <v>16</v>
      </c>
      <c r="B10" s="26" t="s">
        <v>78</v>
      </c>
      <c r="C10" s="23">
        <v>2000</v>
      </c>
      <c r="D10" s="23">
        <v>2000</v>
      </c>
      <c r="E10" s="23">
        <v>600</v>
      </c>
      <c r="F10" s="23">
        <v>1600</v>
      </c>
      <c r="G10" s="23">
        <v>800</v>
      </c>
      <c r="H10" s="23">
        <v>1067</v>
      </c>
      <c r="I10" s="23">
        <v>800</v>
      </c>
      <c r="J10" s="23">
        <v>100</v>
      </c>
      <c r="K10" s="23">
        <v>300</v>
      </c>
    </row>
    <row r="11" spans="1:11">
      <c r="A11" s="24" t="s">
        <v>49</v>
      </c>
      <c r="B11" s="27" t="s">
        <v>79</v>
      </c>
      <c r="C11" s="15">
        <v>1400</v>
      </c>
      <c r="D11" s="15">
        <v>1700</v>
      </c>
      <c r="E11" s="15">
        <v>600</v>
      </c>
      <c r="F11" s="15">
        <v>1500</v>
      </c>
      <c r="G11" s="15">
        <v>750</v>
      </c>
      <c r="H11" s="15">
        <v>1000</v>
      </c>
      <c r="I11" s="15">
        <v>750</v>
      </c>
      <c r="J11" s="15">
        <v>200</v>
      </c>
      <c r="K11" s="15">
        <v>300</v>
      </c>
    </row>
    <row r="12" spans="1:11">
      <c r="A12" s="21" t="s">
        <v>51</v>
      </c>
      <c r="B12" s="26" t="s">
        <v>80</v>
      </c>
      <c r="C12" s="23">
        <v>1200</v>
      </c>
      <c r="D12" s="23">
        <v>1200</v>
      </c>
      <c r="E12" s="23">
        <v>600</v>
      </c>
      <c r="F12" s="23">
        <v>1500</v>
      </c>
      <c r="G12" s="23">
        <v>750</v>
      </c>
      <c r="H12" s="23">
        <v>1000</v>
      </c>
      <c r="I12" s="23">
        <v>750</v>
      </c>
      <c r="J12" s="23">
        <v>150</v>
      </c>
      <c r="K12" s="23">
        <v>0</v>
      </c>
    </row>
    <row r="13" spans="1:11">
      <c r="A13" s="24" t="s">
        <v>53</v>
      </c>
      <c r="B13" s="27" t="s">
        <v>81</v>
      </c>
      <c r="C13" s="15">
        <v>1000</v>
      </c>
      <c r="D13" s="15">
        <v>1000</v>
      </c>
      <c r="E13" s="15">
        <v>600</v>
      </c>
      <c r="F13" s="15">
        <v>1600</v>
      </c>
      <c r="G13" s="15">
        <v>800</v>
      </c>
      <c r="H13" s="15">
        <v>1067</v>
      </c>
      <c r="I13" s="15">
        <v>800</v>
      </c>
      <c r="J13" s="15">
        <v>0</v>
      </c>
      <c r="K13" s="15">
        <v>0</v>
      </c>
    </row>
    <row r="14" spans="1:11">
      <c r="A14" s="21" t="s">
        <v>55</v>
      </c>
      <c r="B14" s="26" t="s">
        <v>82</v>
      </c>
      <c r="C14" s="23">
        <v>6800</v>
      </c>
      <c r="D14" s="23">
        <v>10800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f1579f1-0b38-4219-8499-bb3216f8bc62}" enabled="1" method="Standard" siteId="{88c3e3b5-abdd-4476-b47a-f563a26aae9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Calculator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백승현 (Seunghyun Baek) COSMAX</cp:lastModifiedBy>
  <cp:revision>0</cp:revision>
  <dcterms:created xsi:type="dcterms:W3CDTF">2026-03-05T01:56:17Z</dcterms:created>
  <dcterms:modified xsi:type="dcterms:W3CDTF">2026-03-05T02:01:01Z</dcterms:modified>
  <dc:language>en-US</dc:language>
</cp:coreProperties>
</file>